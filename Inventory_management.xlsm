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dvanced Excel\Project\Inventory\"/>
    </mc:Choice>
  </mc:AlternateContent>
  <xr:revisionPtr revIDLastSave="0" documentId="13_ncr:1_{91E487A0-3951-4731-910F-E54135932440}" xr6:coauthVersionLast="47" xr6:coauthVersionMax="47" xr10:uidLastSave="{00000000-0000-0000-0000-000000000000}"/>
  <bookViews>
    <workbookView xWindow="-108" yWindow="-108" windowWidth="23256" windowHeight="12456" activeTab="3" xr2:uid="{A229698B-B490-45FF-B2E6-B5DD565CAD90}"/>
  </bookViews>
  <sheets>
    <sheet name="Home" sheetId="1" r:id="rId1"/>
    <sheet name="Purchase" sheetId="2" r:id="rId2"/>
    <sheet name="Sale" sheetId="3" r:id="rId3"/>
    <sheet name="Stock" sheetId="4" r:id="rId4"/>
  </sheets>
  <definedNames>
    <definedName name="_xlnm._FilterDatabase" localSheetId="1" hidden="1">Purchase!$E$5:$E$10</definedName>
    <definedName name="_xlnm.Criteria" localSheetId="3">Stock!$H$8:$H$9</definedName>
    <definedName name="_xlnm.Extract" localSheetId="3">Stock!$C$5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H9" i="4"/>
  <c r="F20" i="4" l="1"/>
  <c r="F16" i="4"/>
  <c r="F12" i="4"/>
  <c r="F8" i="4"/>
  <c r="F19" i="4"/>
  <c r="F15" i="4"/>
  <c r="F11" i="4"/>
  <c r="F7" i="4"/>
  <c r="F22" i="4"/>
  <c r="F18" i="4"/>
  <c r="F14" i="4"/>
  <c r="F10" i="4"/>
  <c r="F6" i="4"/>
  <c r="H12" i="1" s="1"/>
  <c r="F21" i="4"/>
  <c r="F17" i="4"/>
  <c r="F13" i="4"/>
  <c r="F9" i="4"/>
</calcChain>
</file>

<file path=xl/sharedStrings.xml><?xml version="1.0" encoding="utf-8"?>
<sst xmlns="http://schemas.openxmlformats.org/spreadsheetml/2006/main" count="34" uniqueCount="22">
  <si>
    <t>Inventory Management System</t>
  </si>
  <si>
    <t>Entry Type:</t>
  </si>
  <si>
    <t>Last Billed:</t>
  </si>
  <si>
    <t>Bill No:</t>
  </si>
  <si>
    <t>Date:</t>
  </si>
  <si>
    <t>Item:</t>
  </si>
  <si>
    <t>Qty:</t>
  </si>
  <si>
    <t>Rate:</t>
  </si>
  <si>
    <t>Bill No</t>
  </si>
  <si>
    <t>Date</t>
  </si>
  <si>
    <t>Item</t>
  </si>
  <si>
    <t>Qty</t>
  </si>
  <si>
    <t>Rate</t>
  </si>
  <si>
    <t>Purchase Details</t>
  </si>
  <si>
    <t>Sales Details</t>
  </si>
  <si>
    <t>Stock Details</t>
  </si>
  <si>
    <t>Purchase Qty</t>
  </si>
  <si>
    <t>Sales Qty</t>
  </si>
  <si>
    <t>Stock</t>
  </si>
  <si>
    <t>Mouse</t>
  </si>
  <si>
    <t>Keyboard</t>
  </si>
  <si>
    <t>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</si>
</sst>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8"/>
      <color theme="1"/>
      <name val="Times New Roman"/>
      <family val="1"/>
    </font>
    <font>
      <sz val="22"/>
      <color theme="1"/>
      <name val="Arial Rounded MT Bold"/>
      <family val="2"/>
    </font>
    <font>
      <b/>
      <sz val="18"/>
      <color theme="1"/>
      <name val="Times New Roman"/>
      <family val="1"/>
    </font>
    <font>
      <sz val="20"/>
      <color theme="1"/>
      <name val="Arial Rounded MT Bold"/>
      <family val="2"/>
    </font>
    <font>
      <sz val="18"/>
      <color theme="1"/>
      <name val="Arial Rounded MT Bold"/>
      <family val="2"/>
    </font>
    <font>
      <sz val="11"/>
      <color theme="1"/>
      <name val="Arial Rounded MT Bold"/>
      <family val="2"/>
    </font>
    <font>
      <sz val="16"/>
      <color theme="1"/>
      <name val="Times New Roman"/>
      <family val="1"/>
    </font>
    <font>
      <sz val="18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1" xfId="0" applyFont="1" applyBorder="1"/>
    <xf numFmtId="0" fontId="3" fillId="0" borderId="1" xfId="0" applyFont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3" fillId="0" borderId="1" xfId="0" applyFont="1" applyBorder="1" applyAlignment="1">
      <alignment horizontal="right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1" xfId="0" applyFont="1" applyBorder="1"/>
    <xf numFmtId="0" fontId="7" fillId="0" borderId="7" xfId="0" applyFont="1" applyBorder="1"/>
    <xf numFmtId="0" fontId="7" fillId="0" borderId="8" xfId="0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Border="1" applyAlignment="1">
      <alignment horizontal="right" vertical="center"/>
    </xf>
    <xf numFmtId="14" fontId="1" fillId="0" borderId="1" xfId="0" applyNumberFormat="1" applyFont="1" applyBorder="1" applyAlignment="1">
      <alignment horizontal="right" vertic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8" fillId="0" borderId="0" xfId="0" applyFont="1"/>
  </cellXfs>
  <cellStyles count="1">
    <cellStyle name="Normal" xfId="0" builtinId="0"/>
  </cellStyles>
  <dxfs count="29">
    <dxf>
      <font>
        <strike val="0"/>
        <outline val="0"/>
        <shadow val="0"/>
        <u val="none"/>
        <vertAlign val="baseline"/>
        <sz val="16"/>
        <color theme="1"/>
        <name val="Times New Roman"/>
        <family val="1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8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Times New Roman"/>
        <family val="1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Times New Roman"/>
        <family val="1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6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8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Times New Roman"/>
        <family val="1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ale!A1"/><Relationship Id="rId2" Type="http://schemas.openxmlformats.org/officeDocument/2006/relationships/hyperlink" Target="#Purchase!A1"/><Relationship Id="rId1" Type="http://schemas.openxmlformats.org/officeDocument/2006/relationships/hyperlink" Target="#Home!A1"/><Relationship Id="rId4" Type="http://schemas.openxmlformats.org/officeDocument/2006/relationships/hyperlink" Target="#Stock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ale!A1"/><Relationship Id="rId2" Type="http://schemas.openxmlformats.org/officeDocument/2006/relationships/hyperlink" Target="#Purchase!A1"/><Relationship Id="rId1" Type="http://schemas.openxmlformats.org/officeDocument/2006/relationships/hyperlink" Target="#Home!A1"/><Relationship Id="rId4" Type="http://schemas.openxmlformats.org/officeDocument/2006/relationships/hyperlink" Target="#Stock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ale!A1"/><Relationship Id="rId2" Type="http://schemas.openxmlformats.org/officeDocument/2006/relationships/hyperlink" Target="#Purchase!A1"/><Relationship Id="rId1" Type="http://schemas.openxmlformats.org/officeDocument/2006/relationships/hyperlink" Target="#Home!A1"/><Relationship Id="rId4" Type="http://schemas.openxmlformats.org/officeDocument/2006/relationships/hyperlink" Target="#Stoc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ale!A1"/><Relationship Id="rId2" Type="http://schemas.openxmlformats.org/officeDocument/2006/relationships/hyperlink" Target="#Purchase!A1"/><Relationship Id="rId1" Type="http://schemas.openxmlformats.org/officeDocument/2006/relationships/hyperlink" Target="#Home!A1"/><Relationship Id="rId4" Type="http://schemas.openxmlformats.org/officeDocument/2006/relationships/hyperlink" Target="#Stock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86592</xdr:colOff>
      <xdr:row>13</xdr:row>
      <xdr:rowOff>181840</xdr:rowOff>
    </xdr:from>
    <xdr:to>
      <xdr:col>4</xdr:col>
      <xdr:colOff>1350820</xdr:colOff>
      <xdr:row>17</xdr:row>
      <xdr:rowOff>147204</xdr:rowOff>
    </xdr:to>
    <xdr:sp macro="[0]!Purcha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EED75C7-6A81-44E4-E9E7-9603FFDF87B8}"/>
            </a:ext>
          </a:extLst>
        </xdr:cNvPr>
        <xdr:cNvSpPr/>
      </xdr:nvSpPr>
      <xdr:spPr>
        <a:xfrm>
          <a:off x="2511137" y="3584863"/>
          <a:ext cx="1264228" cy="692727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Purchase</a:t>
          </a:r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Entry</a:t>
          </a:r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39832</xdr:colOff>
      <xdr:row>13</xdr:row>
      <xdr:rowOff>178376</xdr:rowOff>
    </xdr:from>
    <xdr:to>
      <xdr:col>6</xdr:col>
      <xdr:colOff>1702379</xdr:colOff>
      <xdr:row>17</xdr:row>
      <xdr:rowOff>143740</xdr:rowOff>
    </xdr:to>
    <xdr:sp macro="[0]!Sa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AC9B478-E990-4D98-8BD6-89ED8EAD6364}"/>
            </a:ext>
          </a:extLst>
        </xdr:cNvPr>
        <xdr:cNvSpPr/>
      </xdr:nvSpPr>
      <xdr:spPr>
        <a:xfrm>
          <a:off x="3971059" y="3581399"/>
          <a:ext cx="1662547" cy="692727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Sale</a:t>
          </a:r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Entry</a:t>
          </a:r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123824</xdr:colOff>
      <xdr:row>5</xdr:row>
      <xdr:rowOff>69271</xdr:rowOff>
    </xdr:from>
    <xdr:to>
      <xdr:col>11</xdr:col>
      <xdr:colOff>288347</xdr:colOff>
      <xdr:row>6</xdr:row>
      <xdr:rowOff>189544</xdr:rowOff>
    </xdr:to>
    <xdr:sp macro="" textlink="">
      <xdr:nvSpPr>
        <xdr:cNvPr id="5" name="Rectangle: Rounded Corner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6A139A-D657-61D4-E38A-85D2F4DCD9C2}"/>
            </a:ext>
          </a:extLst>
        </xdr:cNvPr>
        <xdr:cNvSpPr/>
      </xdr:nvSpPr>
      <xdr:spPr>
        <a:xfrm>
          <a:off x="7743824" y="978476"/>
          <a:ext cx="1376796" cy="432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>
    <xdr:from>
      <xdr:col>9</xdr:col>
      <xdr:colOff>123824</xdr:colOff>
      <xdr:row>7</xdr:row>
      <xdr:rowOff>5195</xdr:rowOff>
    </xdr:from>
    <xdr:to>
      <xdr:col>11</xdr:col>
      <xdr:colOff>288347</xdr:colOff>
      <xdr:row>9</xdr:row>
      <xdr:rowOff>65740</xdr:rowOff>
    </xdr:to>
    <xdr:sp macro="" textlink="">
      <xdr:nvSpPr>
        <xdr:cNvPr id="6" name="Rectangle: Rounded Corner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11405C-D0B3-FD44-C24B-47F4C32728E9}"/>
            </a:ext>
          </a:extLst>
        </xdr:cNvPr>
        <xdr:cNvSpPr/>
      </xdr:nvSpPr>
      <xdr:spPr>
        <a:xfrm>
          <a:off x="7743824" y="1537854"/>
          <a:ext cx="1376796" cy="684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Purchase</a:t>
          </a:r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Details</a:t>
          </a:r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593147</xdr:colOff>
      <xdr:row>5</xdr:row>
      <xdr:rowOff>45025</xdr:rowOff>
    </xdr:from>
    <xdr:to>
      <xdr:col>14</xdr:col>
      <xdr:colOff>151534</xdr:colOff>
      <xdr:row>6</xdr:row>
      <xdr:rowOff>165298</xdr:rowOff>
    </xdr:to>
    <xdr:sp macro="" textlink="">
      <xdr:nvSpPr>
        <xdr:cNvPr id="7" name="Rectangle: Rounded Corner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200FBEA-B26F-675C-43A1-CDF6188DFA01}"/>
            </a:ext>
          </a:extLst>
        </xdr:cNvPr>
        <xdr:cNvSpPr/>
      </xdr:nvSpPr>
      <xdr:spPr>
        <a:xfrm>
          <a:off x="9425420" y="954230"/>
          <a:ext cx="1376796" cy="432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Sales Details</a:t>
          </a:r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593147</xdr:colOff>
      <xdr:row>7</xdr:row>
      <xdr:rowOff>32903</xdr:rowOff>
    </xdr:from>
    <xdr:to>
      <xdr:col>14</xdr:col>
      <xdr:colOff>151534</xdr:colOff>
      <xdr:row>9</xdr:row>
      <xdr:rowOff>93448</xdr:rowOff>
    </xdr:to>
    <xdr:sp macro="" textlink="">
      <xdr:nvSpPr>
        <xdr:cNvPr id="8" name="Rectangle: Rounded Corner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BD0DC7B-C166-90B4-250D-4C8FBDA58435}"/>
            </a:ext>
          </a:extLst>
        </xdr:cNvPr>
        <xdr:cNvSpPr/>
      </xdr:nvSpPr>
      <xdr:spPr>
        <a:xfrm>
          <a:off x="9425420" y="1565562"/>
          <a:ext cx="1376796" cy="684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Stock Details</a:t>
          </a:r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10</xdr:col>
      <xdr:colOff>157596</xdr:colOff>
      <xdr:row>5</xdr:row>
      <xdr:rowOff>165300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4C63D4-AD94-4AB4-B237-4CC175EA62CB}"/>
            </a:ext>
          </a:extLst>
        </xdr:cNvPr>
        <xdr:cNvSpPr/>
      </xdr:nvSpPr>
      <xdr:spPr>
        <a:xfrm>
          <a:off x="6164580" y="731520"/>
          <a:ext cx="1376796" cy="432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>
    <xdr:from>
      <xdr:col>8</xdr:col>
      <xdr:colOff>0</xdr:colOff>
      <xdr:row>6</xdr:row>
      <xdr:rowOff>3118</xdr:rowOff>
    </xdr:from>
    <xdr:to>
      <xdr:col>10</xdr:col>
      <xdr:colOff>157596</xdr:colOff>
      <xdr:row>8</xdr:row>
      <xdr:rowOff>107998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8A0AD49-1426-4672-A3BF-9A1B0C7953F2}"/>
            </a:ext>
          </a:extLst>
        </xdr:cNvPr>
        <xdr:cNvSpPr/>
      </xdr:nvSpPr>
      <xdr:spPr>
        <a:xfrm>
          <a:off x="6164580" y="1290898"/>
          <a:ext cx="1376796" cy="684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Purchase</a:t>
          </a:r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Details</a:t>
          </a:r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462396</xdr:colOff>
      <xdr:row>3</xdr:row>
      <xdr:rowOff>158634</xdr:rowOff>
    </xdr:from>
    <xdr:to>
      <xdr:col>13</xdr:col>
      <xdr:colOff>10392</xdr:colOff>
      <xdr:row>5</xdr:row>
      <xdr:rowOff>141054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6DBF3B1-4788-4ED1-8AC1-10DC28AEDDE7}"/>
            </a:ext>
          </a:extLst>
        </xdr:cNvPr>
        <xdr:cNvSpPr/>
      </xdr:nvSpPr>
      <xdr:spPr>
        <a:xfrm>
          <a:off x="7846176" y="707274"/>
          <a:ext cx="1376796" cy="432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Sales Details</a:t>
          </a:r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462396</xdr:colOff>
      <xdr:row>6</xdr:row>
      <xdr:rowOff>30826</xdr:rowOff>
    </xdr:from>
    <xdr:to>
      <xdr:col>13</xdr:col>
      <xdr:colOff>10392</xdr:colOff>
      <xdr:row>8</xdr:row>
      <xdr:rowOff>135706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4A58D4D-7EE0-480A-83AE-8FB1B264D6FB}"/>
            </a:ext>
          </a:extLst>
        </xdr:cNvPr>
        <xdr:cNvSpPr/>
      </xdr:nvSpPr>
      <xdr:spPr>
        <a:xfrm>
          <a:off x="7846176" y="1318606"/>
          <a:ext cx="1376796" cy="684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Stock Details</a:t>
          </a:r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24246</xdr:rowOff>
    </xdr:from>
    <xdr:to>
      <xdr:col>10</xdr:col>
      <xdr:colOff>157596</xdr:colOff>
      <xdr:row>5</xdr:row>
      <xdr:rowOff>189546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5FC263-D5B5-42F0-A6F1-AD7684CEC2FF}"/>
            </a:ext>
          </a:extLst>
        </xdr:cNvPr>
        <xdr:cNvSpPr/>
      </xdr:nvSpPr>
      <xdr:spPr>
        <a:xfrm>
          <a:off x="6057900" y="755766"/>
          <a:ext cx="1376796" cy="432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>
    <xdr:from>
      <xdr:col>8</xdr:col>
      <xdr:colOff>0</xdr:colOff>
      <xdr:row>6</xdr:row>
      <xdr:rowOff>27364</xdr:rowOff>
    </xdr:from>
    <xdr:to>
      <xdr:col>10</xdr:col>
      <xdr:colOff>157596</xdr:colOff>
      <xdr:row>8</xdr:row>
      <xdr:rowOff>132244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606DA26-6DB6-4137-8503-A6B12E960575}"/>
            </a:ext>
          </a:extLst>
        </xdr:cNvPr>
        <xdr:cNvSpPr/>
      </xdr:nvSpPr>
      <xdr:spPr>
        <a:xfrm>
          <a:off x="6057900" y="1315144"/>
          <a:ext cx="1376796" cy="684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Purchase</a:t>
          </a:r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Details</a:t>
          </a:r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462396</xdr:colOff>
      <xdr:row>4</xdr:row>
      <xdr:rowOff>0</xdr:rowOff>
    </xdr:from>
    <xdr:to>
      <xdr:col>13</xdr:col>
      <xdr:colOff>10392</xdr:colOff>
      <xdr:row>5</xdr:row>
      <xdr:rowOff>165300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D5725B1-6B5D-4B68-AFCE-3F3ED988A5A9}"/>
            </a:ext>
          </a:extLst>
        </xdr:cNvPr>
        <xdr:cNvSpPr/>
      </xdr:nvSpPr>
      <xdr:spPr>
        <a:xfrm>
          <a:off x="7739496" y="731520"/>
          <a:ext cx="1376796" cy="432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Sales Details</a:t>
          </a:r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462396</xdr:colOff>
      <xdr:row>6</xdr:row>
      <xdr:rowOff>55072</xdr:rowOff>
    </xdr:from>
    <xdr:to>
      <xdr:col>13</xdr:col>
      <xdr:colOff>10392</xdr:colOff>
      <xdr:row>8</xdr:row>
      <xdr:rowOff>159952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CAAE36-49AE-4FEF-8EFE-3EC9DF82B7EE}"/>
            </a:ext>
          </a:extLst>
        </xdr:cNvPr>
        <xdr:cNvSpPr/>
      </xdr:nvSpPr>
      <xdr:spPr>
        <a:xfrm>
          <a:off x="7739496" y="1342852"/>
          <a:ext cx="1376796" cy="684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Stock Details</a:t>
          </a:r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404813</xdr:colOff>
      <xdr:row>4</xdr:row>
      <xdr:rowOff>174625</xdr:rowOff>
    </xdr:from>
    <xdr:to>
      <xdr:col>10</xdr:col>
      <xdr:colOff>404813</xdr:colOff>
      <xdr:row>6</xdr:row>
      <xdr:rowOff>0</xdr:rowOff>
    </xdr:to>
    <xdr:sp macro="[0]!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F52CB0E-30C0-4920-A581-C0366A20247F}"/>
            </a:ext>
          </a:extLst>
        </xdr:cNvPr>
        <xdr:cNvSpPr/>
      </xdr:nvSpPr>
      <xdr:spPr>
        <a:xfrm>
          <a:off x="6484938" y="904875"/>
          <a:ext cx="1222375" cy="38100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>
    <xdr:from>
      <xdr:col>8</xdr:col>
      <xdr:colOff>315046</xdr:colOff>
      <xdr:row>6</xdr:row>
      <xdr:rowOff>270308</xdr:rowOff>
    </xdr:from>
    <xdr:to>
      <xdr:col>10</xdr:col>
      <xdr:colOff>469467</xdr:colOff>
      <xdr:row>8</xdr:row>
      <xdr:rowOff>146683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70A90F-22C3-4D1C-BF45-4869844A9620}"/>
            </a:ext>
          </a:extLst>
        </xdr:cNvPr>
        <xdr:cNvSpPr/>
      </xdr:nvSpPr>
      <xdr:spPr>
        <a:xfrm>
          <a:off x="6395171" y="1556183"/>
          <a:ext cx="1376796" cy="432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>
    <xdr:from>
      <xdr:col>8</xdr:col>
      <xdr:colOff>315046</xdr:colOff>
      <xdr:row>9</xdr:row>
      <xdr:rowOff>4186</xdr:rowOff>
    </xdr:from>
    <xdr:to>
      <xdr:col>10</xdr:col>
      <xdr:colOff>469467</xdr:colOff>
      <xdr:row>11</xdr:row>
      <xdr:rowOff>148436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32EE301-B28E-4CBC-A1C3-D97940EA3DE8}"/>
            </a:ext>
          </a:extLst>
        </xdr:cNvPr>
        <xdr:cNvSpPr/>
      </xdr:nvSpPr>
      <xdr:spPr>
        <a:xfrm>
          <a:off x="6395171" y="2115561"/>
          <a:ext cx="1376796" cy="684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Purchase</a:t>
          </a:r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Details</a:t>
          </a:r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163079</xdr:colOff>
      <xdr:row>6</xdr:row>
      <xdr:rowOff>246062</xdr:rowOff>
    </xdr:from>
    <xdr:to>
      <xdr:col>13</xdr:col>
      <xdr:colOff>317500</xdr:colOff>
      <xdr:row>8</xdr:row>
      <xdr:rowOff>122437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4138F7-A9D4-4303-8DA0-EBE567D1F05A}"/>
            </a:ext>
          </a:extLst>
        </xdr:cNvPr>
        <xdr:cNvSpPr/>
      </xdr:nvSpPr>
      <xdr:spPr>
        <a:xfrm>
          <a:off x="8076767" y="1531937"/>
          <a:ext cx="1376796" cy="432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Sales Details</a:t>
          </a:r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163079</xdr:colOff>
      <xdr:row>9</xdr:row>
      <xdr:rowOff>31894</xdr:rowOff>
    </xdr:from>
    <xdr:to>
      <xdr:col>13</xdr:col>
      <xdr:colOff>317500</xdr:colOff>
      <xdr:row>11</xdr:row>
      <xdr:rowOff>176144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8F1E294-3C96-48F9-A84B-FED02E285397}"/>
            </a:ext>
          </a:extLst>
        </xdr:cNvPr>
        <xdr:cNvSpPr/>
      </xdr:nvSpPr>
      <xdr:spPr>
        <a:xfrm>
          <a:off x="8076767" y="2143269"/>
          <a:ext cx="1376796" cy="684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Stock Details</a:t>
          </a:r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6D8C8C-BCA0-4CCE-82CE-EA8239B91243}" name="Table2" displayName="Table2" ref="C5:G10" totalsRowShown="0" headerRowDxfId="25" dataDxfId="15" headerRowBorderDxfId="27" tableBorderDxfId="28" totalsRowBorderDxfId="26">
  <tableColumns count="5">
    <tableColumn id="1" xr3:uid="{C22AC792-B1B8-483E-9A11-BF49525D9111}" name="Bill No" dataDxfId="20"/>
    <tableColumn id="2" xr3:uid="{2A564AC1-1CAA-40F9-8C2F-A0A51615B666}" name="Date" dataDxfId="19"/>
    <tableColumn id="3" xr3:uid="{04208B0D-1426-4ED5-8C13-D7D52EBD75E5}" name="Item" dataDxfId="18"/>
    <tableColumn id="4" xr3:uid="{7A155686-3F64-4A22-909E-15DD1823942D}" name="Qty" dataDxfId="17"/>
    <tableColumn id="5" xr3:uid="{02690E51-CF20-4641-A151-AE9EB1DBE5AD}" name="Rate" dataDxfId="16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386623-E5F1-4C4E-BA51-C9350C1CA78E}" name="Table24" displayName="Table24" ref="C5:G9" totalsRowShown="0" headerRowDxfId="24" dataDxfId="1" headerRowBorderDxfId="22" tableBorderDxfId="23" totalsRowBorderDxfId="21">
  <autoFilter ref="C5:G9" xr:uid="{5F386623-E5F1-4C4E-BA51-C9350C1CA78E}"/>
  <tableColumns count="5">
    <tableColumn id="1" xr3:uid="{9ABAE683-FB61-4DD4-BBE8-E6721646DFBD}" name="Bill No" dataDxfId="6"/>
    <tableColumn id="2" xr3:uid="{93EAE868-CC9C-4C04-92D1-56BA1DCD14C0}" name="Date" dataDxfId="5"/>
    <tableColumn id="3" xr3:uid="{ACFB15CC-84B6-4962-A40F-34F33A3C5746}" name="Item" dataDxfId="4"/>
    <tableColumn id="4" xr3:uid="{20543198-5295-4192-B6F7-835B0E2AD175}" name="Qty" dataDxfId="3"/>
    <tableColumn id="5" xr3:uid="{BD674A6F-48B8-43F1-999F-83122DED04F1}" name="Rate" dataDxfId="2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638071-4F58-4038-A009-9EF77ACB4FC8}" name="Table245" displayName="Table245" ref="C5:F22" totalsRowShown="0" headerRowDxfId="14" dataDxfId="13" headerRowBorderDxfId="11" tableBorderDxfId="12" totalsRowBorderDxfId="10">
  <tableColumns count="4">
    <tableColumn id="1" xr3:uid="{09B9A132-E562-4B11-9620-481D0F8AC068}" name="Item" dataDxfId="9"/>
    <tableColumn id="2" xr3:uid="{0112DB83-0BD2-4D9A-8D4F-F8CD96D981AE}" name="Purchase Qty" dataDxfId="8">
      <calculatedColumnFormula>SUMIF(Table2[[#All],[Item]],Table245[[#This Row],[Item]],Table2[[#All],[Qty]])</calculatedColumnFormula>
    </tableColumn>
    <tableColumn id="3" xr3:uid="{AAC07959-5E09-436C-9FE5-543D1C722C10}" name="Sales Qty" dataDxfId="7">
      <calculatedColumnFormula>SUMIF(Table24[[#All],[Item]],Table245[[#This Row],[Item]],Table24[[#All],[Qty]])</calculatedColumnFormula>
    </tableColumn>
    <tableColumn id="4" xr3:uid="{B2965ADB-DF06-4C2D-A81B-1BDB6E083193}" name="Stock" dataDxfId="0">
      <calculatedColumnFormula>Table245[[#This Row],[Purchase Qty]]-Table245[[#This Row],[Sales Qty]]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38337-61B6-486A-96DE-9F740278DAC5}">
  <sheetPr codeName="Sheet1"/>
  <dimension ref="E2:L13"/>
  <sheetViews>
    <sheetView showGridLines="0" topLeftCell="C1" zoomScale="88" workbookViewId="0">
      <selection activeCell="Q20" sqref="Q20"/>
    </sheetView>
  </sheetViews>
  <sheetFormatPr defaultRowHeight="14.4" x14ac:dyDescent="0.3"/>
  <cols>
    <col min="5" max="5" width="20.77734375" customWidth="1"/>
    <col min="6" max="6" width="1.109375" customWidth="1"/>
    <col min="7" max="7" width="25.5546875" customWidth="1"/>
    <col min="8" max="8" width="19.44140625" bestFit="1" customWidth="1"/>
  </cols>
  <sheetData>
    <row r="2" spans="5:12" ht="14.4" customHeight="1" x14ac:dyDescent="0.3">
      <c r="E2" s="3" t="s">
        <v>0</v>
      </c>
      <c r="F2" s="3"/>
      <c r="G2" s="3"/>
      <c r="H2" s="3"/>
      <c r="I2" s="3"/>
      <c r="J2" s="4"/>
      <c r="K2" s="4"/>
      <c r="L2" s="4"/>
    </row>
    <row r="3" spans="5:12" ht="14.4" customHeight="1" x14ac:dyDescent="0.3">
      <c r="E3" s="3"/>
      <c r="F3" s="3"/>
      <c r="G3" s="3"/>
      <c r="H3" s="3"/>
      <c r="I3" s="3"/>
      <c r="J3" s="4"/>
      <c r="K3" s="4"/>
      <c r="L3" s="4"/>
    </row>
    <row r="4" spans="5:12" ht="14.4" customHeight="1" x14ac:dyDescent="0.3">
      <c r="E4" s="3"/>
      <c r="F4" s="3"/>
      <c r="G4" s="3"/>
      <c r="H4" s="3"/>
      <c r="I4" s="3"/>
      <c r="J4" s="4"/>
      <c r="K4" s="4"/>
      <c r="L4" s="4"/>
    </row>
    <row r="6" spans="5:12" ht="25.05" customHeight="1" x14ac:dyDescent="0.4">
      <c r="E6" s="2" t="s">
        <v>1</v>
      </c>
      <c r="G6" s="15" t="s">
        <v>21</v>
      </c>
    </row>
    <row r="7" spans="5:12" ht="25.05" customHeight="1" x14ac:dyDescent="0.4">
      <c r="E7" s="2" t="s">
        <v>2</v>
      </c>
      <c r="G7" s="1">
        <f>IF(G6="Purchase",MAX(Table2[Bill No]),MAX(Table24[Bill No]))</f>
        <v>3</v>
      </c>
    </row>
    <row r="8" spans="5:12" ht="25.05" customHeight="1" x14ac:dyDescent="0.3"/>
    <row r="9" spans="5:12" ht="25.05" customHeight="1" x14ac:dyDescent="0.4">
      <c r="E9" s="5" t="s">
        <v>3</v>
      </c>
      <c r="G9" s="16"/>
    </row>
    <row r="10" spans="5:12" ht="25.05" customHeight="1" x14ac:dyDescent="0.4">
      <c r="E10" s="5" t="s">
        <v>4</v>
      </c>
      <c r="G10" s="17"/>
    </row>
    <row r="11" spans="5:12" ht="25.05" customHeight="1" x14ac:dyDescent="0.4">
      <c r="E11" s="5" t="s">
        <v>5</v>
      </c>
      <c r="G11" s="16"/>
    </row>
    <row r="12" spans="5:12" ht="25.05" customHeight="1" x14ac:dyDescent="0.4">
      <c r="E12" s="5" t="s">
        <v>6</v>
      </c>
      <c r="G12" s="16"/>
      <c r="H12" s="23" t="str">
        <f>IFERROR(IF(G6="Sale",IF(VLOOKUP(G11,Table245[#All],4,0)&lt;G12,"Out of Stock!",""),""),"")</f>
        <v/>
      </c>
    </row>
    <row r="13" spans="5:12" ht="25.05" customHeight="1" x14ac:dyDescent="0.4">
      <c r="E13" s="5" t="s">
        <v>7</v>
      </c>
      <c r="G13" s="16"/>
    </row>
  </sheetData>
  <mergeCells count="1">
    <mergeCell ref="E2:I4"/>
  </mergeCells>
  <dataValidations count="1">
    <dataValidation type="list" allowBlank="1" showInputMessage="1" showErrorMessage="1" sqref="G6" xr:uid="{D2A92EA1-7FD0-4EBD-B640-C7E7695070B9}">
      <formula1>"Sale, Purchase"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A56E2-EC27-4590-BA38-DD4589CF3743}">
  <sheetPr codeName="Sheet2"/>
  <dimension ref="C2:G10"/>
  <sheetViews>
    <sheetView showGridLines="0" workbookViewId="0">
      <selection activeCell="J5" sqref="J5"/>
    </sheetView>
  </sheetViews>
  <sheetFormatPr defaultRowHeight="14.4" x14ac:dyDescent="0.3"/>
  <cols>
    <col min="3" max="3" width="12.6640625" bestFit="1" customWidth="1"/>
    <col min="4" max="4" width="16.88671875" bestFit="1" customWidth="1"/>
    <col min="5" max="5" width="15.21875" customWidth="1"/>
    <col min="7" max="7" width="9.5546875" bestFit="1" customWidth="1"/>
  </cols>
  <sheetData>
    <row r="2" spans="3:7" x14ac:dyDescent="0.3">
      <c r="C2" s="6" t="s">
        <v>13</v>
      </c>
      <c r="D2" s="7"/>
      <c r="E2" s="7"/>
      <c r="F2" s="7"/>
      <c r="G2" s="7"/>
    </row>
    <row r="3" spans="3:7" x14ac:dyDescent="0.3">
      <c r="C3" s="7"/>
      <c r="D3" s="7"/>
      <c r="E3" s="7"/>
      <c r="F3" s="7"/>
      <c r="G3" s="7"/>
    </row>
    <row r="5" spans="3:7" ht="21" x14ac:dyDescent="0.4">
      <c r="C5" s="8" t="s">
        <v>8</v>
      </c>
      <c r="D5" s="9" t="s">
        <v>9</v>
      </c>
      <c r="E5" s="9" t="s">
        <v>10</v>
      </c>
      <c r="F5" s="9" t="s">
        <v>11</v>
      </c>
      <c r="G5" s="10" t="s">
        <v>12</v>
      </c>
    </row>
    <row r="6" spans="3:7" ht="22.8" x14ac:dyDescent="0.4">
      <c r="C6" s="18"/>
      <c r="D6" s="1"/>
      <c r="E6" s="1"/>
      <c r="F6" s="1"/>
      <c r="G6" s="19"/>
    </row>
    <row r="7" spans="3:7" ht="22.8" x14ac:dyDescent="0.3">
      <c r="C7" s="16">
        <v>3</v>
      </c>
      <c r="D7" s="17">
        <v>46146</v>
      </c>
      <c r="E7" s="16" t="s">
        <v>19</v>
      </c>
      <c r="F7" s="16">
        <v>20</v>
      </c>
      <c r="G7" s="16">
        <v>4650</v>
      </c>
    </row>
    <row r="8" spans="3:7" ht="22.8" x14ac:dyDescent="0.3">
      <c r="C8" s="16">
        <v>2</v>
      </c>
      <c r="D8" s="17">
        <v>46146</v>
      </c>
      <c r="E8" s="16" t="s">
        <v>20</v>
      </c>
      <c r="F8" s="16">
        <v>40</v>
      </c>
      <c r="G8" s="16">
        <v>4652</v>
      </c>
    </row>
    <row r="9" spans="3:7" ht="22.8" x14ac:dyDescent="0.3">
      <c r="C9" s="16">
        <v>1</v>
      </c>
      <c r="D9" s="17">
        <v>46023</v>
      </c>
      <c r="E9" s="16" t="s">
        <v>19</v>
      </c>
      <c r="F9" s="16">
        <v>20</v>
      </c>
      <c r="G9" s="16">
        <v>210</v>
      </c>
    </row>
    <row r="10" spans="3:7" ht="22.8" x14ac:dyDescent="0.4">
      <c r="C10" s="20"/>
      <c r="D10" s="21"/>
      <c r="E10" s="21"/>
      <c r="F10" s="21"/>
      <c r="G10" s="22"/>
    </row>
  </sheetData>
  <mergeCells count="1">
    <mergeCell ref="C2:G3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BACC-4C75-4110-B9F2-6B7A4EB89DD9}">
  <sheetPr codeName="Sheet3"/>
  <dimension ref="C2:G9"/>
  <sheetViews>
    <sheetView showGridLines="0" workbookViewId="0">
      <selection activeCell="I5" sqref="I5"/>
    </sheetView>
  </sheetViews>
  <sheetFormatPr defaultRowHeight="14.4" x14ac:dyDescent="0.3"/>
  <cols>
    <col min="3" max="3" width="12.6640625" bestFit="1" customWidth="1"/>
    <col min="4" max="4" width="16.88671875" bestFit="1" customWidth="1"/>
    <col min="5" max="5" width="14.33203125" bestFit="1" customWidth="1"/>
    <col min="6" max="6" width="8.21875" bestFit="1" customWidth="1"/>
    <col min="7" max="7" width="9.5546875" bestFit="1" customWidth="1"/>
  </cols>
  <sheetData>
    <row r="2" spans="3:7" x14ac:dyDescent="0.3">
      <c r="C2" s="6" t="s">
        <v>14</v>
      </c>
      <c r="D2" s="7"/>
      <c r="E2" s="7"/>
      <c r="F2" s="7"/>
      <c r="G2" s="7"/>
    </row>
    <row r="3" spans="3:7" x14ac:dyDescent="0.3">
      <c r="C3" s="7"/>
      <c r="D3" s="7"/>
      <c r="E3" s="7"/>
      <c r="F3" s="7"/>
      <c r="G3" s="7"/>
    </row>
    <row r="5" spans="3:7" ht="21" x14ac:dyDescent="0.4">
      <c r="C5" s="8" t="s">
        <v>8</v>
      </c>
      <c r="D5" s="9" t="s">
        <v>9</v>
      </c>
      <c r="E5" s="9" t="s">
        <v>10</v>
      </c>
      <c r="F5" s="9" t="s">
        <v>11</v>
      </c>
      <c r="G5" s="10" t="s">
        <v>12</v>
      </c>
    </row>
    <row r="6" spans="3:7" ht="22.8" x14ac:dyDescent="0.4">
      <c r="C6" s="1"/>
      <c r="D6" s="1"/>
      <c r="E6" s="1"/>
      <c r="F6" s="1"/>
      <c r="G6" s="1"/>
    </row>
    <row r="7" spans="3:7" ht="22.8" x14ac:dyDescent="0.3">
      <c r="C7" s="16">
        <v>2</v>
      </c>
      <c r="D7" s="17">
        <v>46177</v>
      </c>
      <c r="E7" s="16" t="s">
        <v>20</v>
      </c>
      <c r="F7" s="16">
        <v>20</v>
      </c>
      <c r="G7" s="16">
        <v>7650</v>
      </c>
    </row>
    <row r="8" spans="3:7" ht="22.8" x14ac:dyDescent="0.3">
      <c r="C8" s="16">
        <v>1</v>
      </c>
      <c r="D8" s="17">
        <v>46145</v>
      </c>
      <c r="E8" s="16" t="s">
        <v>19</v>
      </c>
      <c r="F8" s="16">
        <v>10</v>
      </c>
      <c r="G8" s="16">
        <v>210</v>
      </c>
    </row>
    <row r="9" spans="3:7" ht="22.8" x14ac:dyDescent="0.4">
      <c r="C9" s="1"/>
      <c r="D9" s="1"/>
      <c r="E9" s="1"/>
      <c r="F9" s="1"/>
      <c r="G9" s="1"/>
    </row>
  </sheetData>
  <mergeCells count="1">
    <mergeCell ref="C2:G3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ED2DF-50FC-4CC6-BD1C-C090DCEA4B07}">
  <sheetPr codeName="Sheet4"/>
  <dimension ref="C2:H22"/>
  <sheetViews>
    <sheetView showGridLines="0" tabSelected="1" zoomScale="96" workbookViewId="0">
      <selection activeCell="B6" sqref="B6"/>
    </sheetView>
  </sheetViews>
  <sheetFormatPr defaultRowHeight="14.4" x14ac:dyDescent="0.3"/>
  <cols>
    <col min="3" max="3" width="14.33203125" bestFit="1" customWidth="1"/>
    <col min="4" max="4" width="21.21875" bestFit="1" customWidth="1"/>
    <col min="5" max="5" width="15.77734375" bestFit="1" customWidth="1"/>
    <col min="6" max="6" width="10.6640625" bestFit="1" customWidth="1"/>
    <col min="8" max="8" width="7.5546875" hidden="1" customWidth="1"/>
  </cols>
  <sheetData>
    <row r="2" spans="3:8" x14ac:dyDescent="0.3">
      <c r="C2" s="6" t="s">
        <v>15</v>
      </c>
      <c r="D2" s="7"/>
      <c r="E2" s="7"/>
      <c r="F2" s="7"/>
      <c r="G2" s="7"/>
    </row>
    <row r="3" spans="3:8" x14ac:dyDescent="0.3">
      <c r="C3" s="7"/>
      <c r="D3" s="7"/>
      <c r="E3" s="7"/>
      <c r="F3" s="7"/>
      <c r="G3" s="7"/>
    </row>
    <row r="5" spans="3:8" ht="21" x14ac:dyDescent="0.4">
      <c r="C5" s="8" t="s">
        <v>10</v>
      </c>
      <c r="D5" s="9" t="s">
        <v>16</v>
      </c>
      <c r="E5" s="9" t="s">
        <v>17</v>
      </c>
      <c r="F5" s="9" t="s">
        <v>18</v>
      </c>
    </row>
    <row r="6" spans="3:8" ht="22.8" x14ac:dyDescent="0.4">
      <c r="C6" s="16" t="s">
        <v>19</v>
      </c>
      <c r="D6" s="12">
        <f>SUMIF(Table2[[#All],[Item]],Table245[[#This Row],[Item]],Table2[[#All],[Qty]])</f>
        <v>40</v>
      </c>
      <c r="E6" s="12">
        <f>SUMIF(Table24[[#All],[Item]],Table245[[#This Row],[Item]],Table24[[#All],[Qty]])</f>
        <v>10</v>
      </c>
      <c r="F6" s="12">
        <f>Table245[[#This Row],[Purchase Qty]]-Table245[[#This Row],[Sales Qty]]</f>
        <v>30</v>
      </c>
    </row>
    <row r="7" spans="3:8" ht="22.8" x14ac:dyDescent="0.4">
      <c r="C7" s="16" t="s">
        <v>20</v>
      </c>
      <c r="D7" s="14">
        <f>SUMIF(Table2[[#All],[Item]],Table245[[#This Row],[Item]],Table2[[#All],[Qty]])</f>
        <v>40</v>
      </c>
      <c r="E7" s="14">
        <f>SUMIF(Table24[[#All],[Item]],Table245[[#This Row],[Item]],Table24[[#All],[Qty]])</f>
        <v>20</v>
      </c>
      <c r="F7" s="14">
        <f>Table245[[#This Row],[Purchase Qty]]-Table245[[#This Row],[Sales Qty]]</f>
        <v>20</v>
      </c>
    </row>
    <row r="8" spans="3:8" ht="21" x14ac:dyDescent="0.4">
      <c r="C8" s="11"/>
      <c r="D8" s="12">
        <f>SUMIF(Table2[[#All],[Item]],Table245[[#This Row],[Item]],Table2[[#All],[Qty]])</f>
        <v>0</v>
      </c>
      <c r="E8" s="12">
        <f>SUMIF(Table24[[#All],[Item]],Table245[[#This Row],[Item]],Table24[[#All],[Qty]])</f>
        <v>0</v>
      </c>
      <c r="F8" s="12">
        <f>Table245[[#This Row],[Purchase Qty]]-Table245[[#This Row],[Sales Qty]]</f>
        <v>0</v>
      </c>
      <c r="H8" t="s">
        <v>10</v>
      </c>
    </row>
    <row r="9" spans="3:8" ht="21" x14ac:dyDescent="0.4">
      <c r="C9" s="11"/>
      <c r="D9" s="12">
        <f>SUMIF(Table2[[#All],[Item]],Table245[[#This Row],[Item]],Table2[[#All],[Qty]])</f>
        <v>0</v>
      </c>
      <c r="E9" s="12">
        <f>SUMIF(Table24[[#All],[Item]],Table245[[#This Row],[Item]],Table24[[#All],[Qty]])</f>
        <v>0</v>
      </c>
      <c r="F9" s="12">
        <f>Table245[[#This Row],[Purchase Qty]]-Table245[[#This Row],[Sales Qty]]</f>
        <v>0</v>
      </c>
      <c r="H9" t="str">
        <f>"&lt;&gt;"</f>
        <v>&lt;&gt;</v>
      </c>
    </row>
    <row r="10" spans="3:8" ht="21" x14ac:dyDescent="0.4">
      <c r="C10" s="11"/>
      <c r="D10" s="12">
        <f>SUMIF(Table2[[#All],[Item]],Table245[[#This Row],[Item]],Table2[[#All],[Qty]])</f>
        <v>0</v>
      </c>
      <c r="E10" s="12">
        <f>SUMIF(Table24[[#All],[Item]],Table245[[#This Row],[Item]],Table24[[#All],[Qty]])</f>
        <v>0</v>
      </c>
      <c r="F10" s="12">
        <f>Table245[[#This Row],[Purchase Qty]]-Table245[[#This Row],[Sales Qty]]</f>
        <v>0</v>
      </c>
    </row>
    <row r="11" spans="3:8" ht="21" x14ac:dyDescent="0.4">
      <c r="C11" s="11"/>
      <c r="D11" s="12">
        <f>SUMIF(Table2[[#All],[Item]],Table245[[#This Row],[Item]],Table2[[#All],[Qty]])</f>
        <v>0</v>
      </c>
      <c r="E11" s="12">
        <f>SUMIF(Table24[[#All],[Item]],Table245[[#This Row],[Item]],Table24[[#All],[Qty]])</f>
        <v>0</v>
      </c>
      <c r="F11" s="12">
        <f>Table245[[#This Row],[Purchase Qty]]-Table245[[#This Row],[Sales Qty]]</f>
        <v>0</v>
      </c>
    </row>
    <row r="12" spans="3:8" ht="21" x14ac:dyDescent="0.4">
      <c r="C12" s="11"/>
      <c r="D12" s="12">
        <f>SUMIF(Table2[[#All],[Item]],Table245[[#This Row],[Item]],Table2[[#All],[Qty]])</f>
        <v>0</v>
      </c>
      <c r="E12" s="12">
        <f>SUMIF(Table24[[#All],[Item]],Table245[[#This Row],[Item]],Table24[[#All],[Qty]])</f>
        <v>0</v>
      </c>
      <c r="F12" s="12">
        <f>Table245[[#This Row],[Purchase Qty]]-Table245[[#This Row],[Sales Qty]]</f>
        <v>0</v>
      </c>
    </row>
    <row r="13" spans="3:8" ht="21" x14ac:dyDescent="0.4">
      <c r="C13" s="11"/>
      <c r="D13" s="12">
        <f>SUMIF(Table2[[#All],[Item]],Table245[[#This Row],[Item]],Table2[[#All],[Qty]])</f>
        <v>0</v>
      </c>
      <c r="E13" s="12">
        <f>SUMIF(Table24[[#All],[Item]],Table245[[#This Row],[Item]],Table24[[#All],[Qty]])</f>
        <v>0</v>
      </c>
      <c r="F13" s="12">
        <f>Table245[[#This Row],[Purchase Qty]]-Table245[[#This Row],[Sales Qty]]</f>
        <v>0</v>
      </c>
    </row>
    <row r="14" spans="3:8" ht="21" x14ac:dyDescent="0.4">
      <c r="C14" s="11"/>
      <c r="D14" s="12">
        <f>SUMIF(Table2[[#All],[Item]],Table245[[#This Row],[Item]],Table2[[#All],[Qty]])</f>
        <v>0</v>
      </c>
      <c r="E14" s="12">
        <f>SUMIF(Table24[[#All],[Item]],Table245[[#This Row],[Item]],Table24[[#All],[Qty]])</f>
        <v>0</v>
      </c>
      <c r="F14" s="12">
        <f>Table245[[#This Row],[Purchase Qty]]-Table245[[#This Row],[Sales Qty]]</f>
        <v>0</v>
      </c>
    </row>
    <row r="15" spans="3:8" ht="21" x14ac:dyDescent="0.4">
      <c r="C15" s="11"/>
      <c r="D15" s="12">
        <f>SUMIF(Table2[[#All],[Item]],Table245[[#This Row],[Item]],Table2[[#All],[Qty]])</f>
        <v>0</v>
      </c>
      <c r="E15" s="12">
        <f>SUMIF(Table24[[#All],[Item]],Table245[[#This Row],[Item]],Table24[[#All],[Qty]])</f>
        <v>0</v>
      </c>
      <c r="F15" s="12">
        <f>Table245[[#This Row],[Purchase Qty]]-Table245[[#This Row],[Sales Qty]]</f>
        <v>0</v>
      </c>
    </row>
    <row r="16" spans="3:8" ht="21" x14ac:dyDescent="0.4">
      <c r="C16" s="11"/>
      <c r="D16" s="12">
        <f>SUMIF(Table2[[#All],[Item]],Table245[[#This Row],[Item]],Table2[[#All],[Qty]])</f>
        <v>0</v>
      </c>
      <c r="E16" s="12">
        <f>SUMIF(Table24[[#All],[Item]],Table245[[#This Row],[Item]],Table24[[#All],[Qty]])</f>
        <v>0</v>
      </c>
      <c r="F16" s="12">
        <f>Table245[[#This Row],[Purchase Qty]]-Table245[[#This Row],[Sales Qty]]</f>
        <v>0</v>
      </c>
    </row>
    <row r="17" spans="3:6" ht="21" x14ac:dyDescent="0.4">
      <c r="C17" s="11"/>
      <c r="D17" s="12">
        <f>SUMIF(Table2[[#All],[Item]],Table245[[#This Row],[Item]],Table2[[#All],[Qty]])</f>
        <v>0</v>
      </c>
      <c r="E17" s="12">
        <f>SUMIF(Table24[[#All],[Item]],Table245[[#This Row],[Item]],Table24[[#All],[Qty]])</f>
        <v>0</v>
      </c>
      <c r="F17" s="12">
        <f>Table245[[#This Row],[Purchase Qty]]-Table245[[#This Row],[Sales Qty]]</f>
        <v>0</v>
      </c>
    </row>
    <row r="18" spans="3:6" ht="21" x14ac:dyDescent="0.4">
      <c r="C18" s="11"/>
      <c r="D18" s="12">
        <f>SUMIF(Table2[[#All],[Item]],Table245[[#This Row],[Item]],Table2[[#All],[Qty]])</f>
        <v>0</v>
      </c>
      <c r="E18" s="12">
        <f>SUMIF(Table24[[#All],[Item]],Table245[[#This Row],[Item]],Table24[[#All],[Qty]])</f>
        <v>0</v>
      </c>
      <c r="F18" s="12">
        <f>Table245[[#This Row],[Purchase Qty]]-Table245[[#This Row],[Sales Qty]]</f>
        <v>0</v>
      </c>
    </row>
    <row r="19" spans="3:6" ht="21" x14ac:dyDescent="0.4">
      <c r="C19" s="11"/>
      <c r="D19" s="12">
        <f>SUMIF(Table2[[#All],[Item]],Table245[[#This Row],[Item]],Table2[[#All],[Qty]])</f>
        <v>0</v>
      </c>
      <c r="E19" s="12">
        <f>SUMIF(Table24[[#All],[Item]],Table245[[#This Row],[Item]],Table24[[#All],[Qty]])</f>
        <v>0</v>
      </c>
      <c r="F19" s="12">
        <f>Table245[[#This Row],[Purchase Qty]]-Table245[[#This Row],[Sales Qty]]</f>
        <v>0</v>
      </c>
    </row>
    <row r="20" spans="3:6" ht="21" x14ac:dyDescent="0.4">
      <c r="C20" s="11"/>
      <c r="D20" s="12">
        <f>SUMIF(Table2[[#All],[Item]],Table245[[#This Row],[Item]],Table2[[#All],[Qty]])</f>
        <v>0</v>
      </c>
      <c r="E20" s="12">
        <f>SUMIF(Table24[[#All],[Item]],Table245[[#This Row],[Item]],Table24[[#All],[Qty]])</f>
        <v>0</v>
      </c>
      <c r="F20" s="12">
        <f>Table245[[#This Row],[Purchase Qty]]-Table245[[#This Row],[Sales Qty]]</f>
        <v>0</v>
      </c>
    </row>
    <row r="21" spans="3:6" ht="21" x14ac:dyDescent="0.4">
      <c r="C21" s="11"/>
      <c r="D21" s="12">
        <f>SUMIF(Table2[[#All],[Item]],Table245[[#This Row],[Item]],Table2[[#All],[Qty]])</f>
        <v>0</v>
      </c>
      <c r="E21" s="12">
        <f>SUMIF(Table24[[#All],[Item]],Table245[[#This Row],[Item]],Table24[[#All],[Qty]])</f>
        <v>0</v>
      </c>
      <c r="F21" s="12">
        <f>Table245[[#This Row],[Purchase Qty]]-Table245[[#This Row],[Sales Qty]]</f>
        <v>0</v>
      </c>
    </row>
    <row r="22" spans="3:6" ht="21" x14ac:dyDescent="0.4">
      <c r="C22" s="13"/>
      <c r="D22" s="14">
        <f>SUMIF(Table2[[#All],[Item]],Table245[[#This Row],[Item]],Table2[[#All],[Qty]])</f>
        <v>0</v>
      </c>
      <c r="E22" s="14">
        <f>SUMIF(Table24[[#All],[Item]],Table245[[#This Row],[Item]],Table24[[#All],[Qty]])</f>
        <v>0</v>
      </c>
      <c r="F22" s="14">
        <f>Table245[[#This Row],[Purchase Qty]]-Table245[[#This Row],[Sales Qty]]</f>
        <v>0</v>
      </c>
    </row>
  </sheetData>
  <mergeCells count="1">
    <mergeCell ref="C2:G3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Home</vt:lpstr>
      <vt:lpstr>Purchase</vt:lpstr>
      <vt:lpstr>Sale</vt:lpstr>
      <vt:lpstr>Stock</vt:lpstr>
      <vt:lpstr>Stock!Criteria</vt:lpstr>
      <vt:lpstr>Stock!Extract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ansari saima</dc:creator>
  <cp:lastModifiedBy>ansari saima</cp:lastModifiedBy>
  <dcterms:created xsi:type="dcterms:W3CDTF">2026-06-04T14:05:49Z</dcterms:created>
  <dcterms:modified xsi:type="dcterms:W3CDTF">2026-06-04T15:03:26Z</dcterms:modified>
</cp:coreProperties>
</file>